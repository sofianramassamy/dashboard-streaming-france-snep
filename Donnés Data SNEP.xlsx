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<sst xmlns="http://schemas.openxmlformats.org/spreadsheetml/2006/main" count="17" uniqueCount="17">
  <si>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annee</t>
  </si>
  <si>
    <t>ca_total_meur</t>
  </si>
  <si>
    <t>ca_streaming_meur</t>
  </si>
  <si>
    <t>ca_physique_meur</t>
  </si>
  <si>
    <t>part_streaming_pct</t>
  </si>
  <si>
    <t>croissance_ca_pct</t>
  </si>
  <si>
    <t>ca_droits_voisins_meur</t>
  </si>
  <si>
    <t>ca_synchro_meur</t>
  </si>
  <si>
    <t>Taux_de_croissance</t>
  </si>
  <si>
    <t>source</t>
  </si>
  <si>
    <t>Bilan - LA 
PRODUCTION 
MUSICALE 
FRANÇAISE - Décryptage 
&amp; performances 
du marché 2019 
de la musique 
enregistrée - SNEP</t>
  </si>
  <si>
    <t>LA PRODUCTION MUSICALE FRANÇAISE EN 2020 - Décryptage d’une année pas comme les autres - SNEP</t>
  </si>
  <si>
    <t>La production musicale française en 2021 : décryptage d’une croissance soutenue - Vidéo instagram publiée par Snepmusique le 15 mars 2022</t>
  </si>
  <si>
    <t xml:space="preserve">LA PRODUCTION  
MUSICALE  
FRANÇAISE  
EN 2022 - UNE TENDANCE POSITIVE, 
DES PERFORMANCES  
À CONSOLIDER - SNEP
</t>
  </si>
  <si>
    <t xml:space="preserve">LA PRODUCTION  
MUSICALE FRANÇAISE  
EN 2023
CROISSANCE  
ET NOUVEAUX CHALLENGES - SNEP
</t>
  </si>
  <si>
    <t>LA PRODUCTION MUSICALE FRANCAISE EN 2024 - "Sans la musique la vie serait une erreur" - SNEP</t>
  </si>
  <si>
    <t>LA PRODUCTION MUSICALE FRANCAISE EN 2025 - SNEP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</si>
</sst>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B0B0B"/>
      <name val="&quot;Times New Roman&quot;"/>
    </font>
    <font>
      <sz val="9.0"/>
      <color rgb="FF085041"/>
      <name val="&quot;Courier New&quot;"/>
    </font>
    <font>
      <color theme="1"/>
      <name val="Arial"/>
      <scheme val="minor"/>
    </font>
    <font>
      <color theme="1"/>
      <name val="Arial"/>
    </font>
    <font>
      <sz val="11.0"/>
      <color rgb="FF0B0B0B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1F5EE"/>
        <bgColor rgb="FFE1F5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horizontal="center" readingOrder="0" vertical="top"/>
    </xf>
    <xf borderId="0" fillId="2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K1" s="6" t="s">
        <v>9</v>
      </c>
    </row>
    <row r="2">
      <c r="A2" s="1">
        <v>2019.0</v>
      </c>
      <c r="B2" s="7">
        <v>772.0</v>
      </c>
      <c r="C2" s="1">
        <v>368.3</v>
      </c>
      <c r="D2" s="1">
        <v>230.0</v>
      </c>
      <c r="E2" s="8">
        <f t="shared" ref="E2:E8" si="1">C2/B2*100</f>
        <v>47.70725389</v>
      </c>
      <c r="G2" s="5">
        <v>124.0</v>
      </c>
      <c r="H2" s="4">
        <v>23.0</v>
      </c>
      <c r="I2" s="5">
        <v>0.0</v>
      </c>
      <c r="K2" s="6" t="s">
        <v>10</v>
      </c>
    </row>
    <row r="3">
      <c r="A3" s="1">
        <v>2020.0</v>
      </c>
      <c r="B3" s="1">
        <v>781.0</v>
      </c>
      <c r="C3" s="1">
        <v>474.0</v>
      </c>
      <c r="D3" s="1">
        <v>184.0</v>
      </c>
      <c r="E3" s="8">
        <f t="shared" si="1"/>
        <v>60.69142125</v>
      </c>
      <c r="F3" s="8">
        <f t="shared" ref="F3:F8" si="2">(B3-B2)/B2*100</f>
        <v>1.165803109</v>
      </c>
      <c r="G3" s="5">
        <v>101.0</v>
      </c>
      <c r="H3" s="4">
        <v>22.0</v>
      </c>
      <c r="I3" s="6"/>
      <c r="K3" s="6" t="s">
        <v>11</v>
      </c>
    </row>
    <row r="4">
      <c r="A4" s="1">
        <v>2021.0</v>
      </c>
      <c r="B4" s="1">
        <v>861.0</v>
      </c>
      <c r="C4" s="1">
        <v>506.0</v>
      </c>
      <c r="D4" s="1">
        <v>223.0</v>
      </c>
      <c r="E4" s="8">
        <f t="shared" si="1"/>
        <v>58.7688734</v>
      </c>
      <c r="F4" s="8">
        <f t="shared" si="2"/>
        <v>10.24327785</v>
      </c>
      <c r="G4" s="5">
        <v>108.3</v>
      </c>
      <c r="H4" s="4">
        <v>24.4</v>
      </c>
      <c r="I4" s="6"/>
      <c r="K4" s="6" t="s">
        <v>12</v>
      </c>
    </row>
    <row r="5">
      <c r="A5" s="1">
        <v>2022.0</v>
      </c>
      <c r="B5" s="1">
        <v>920.0</v>
      </c>
      <c r="C5" s="1">
        <v>556.9</v>
      </c>
      <c r="D5" s="1">
        <v>197.0</v>
      </c>
      <c r="E5" s="8">
        <f t="shared" si="1"/>
        <v>60.5326087</v>
      </c>
      <c r="F5" s="8">
        <f t="shared" si="2"/>
        <v>6.852497096</v>
      </c>
      <c r="G5" s="5">
        <v>122.0</v>
      </c>
      <c r="H5" s="4">
        <v>31.6</v>
      </c>
      <c r="I5" s="6"/>
      <c r="K5" s="6" t="s">
        <v>13</v>
      </c>
    </row>
    <row r="6">
      <c r="A6" s="1">
        <v>2023.0</v>
      </c>
      <c r="B6" s="1">
        <v>968.0</v>
      </c>
      <c r="C6" s="1">
        <v>609.9</v>
      </c>
      <c r="D6" s="1">
        <v>195.0</v>
      </c>
      <c r="E6" s="8">
        <f t="shared" si="1"/>
        <v>63.00619835</v>
      </c>
      <c r="F6" s="8">
        <f t="shared" si="2"/>
        <v>5.217391304</v>
      </c>
      <c r="G6" s="5">
        <v>122.0</v>
      </c>
      <c r="H6" s="4">
        <v>30.8</v>
      </c>
      <c r="I6" s="6"/>
      <c r="K6" s="6" t="s">
        <v>14</v>
      </c>
    </row>
    <row r="7">
      <c r="A7" s="1">
        <v>2024.0</v>
      </c>
      <c r="B7" s="1">
        <v>1031.0</v>
      </c>
      <c r="C7" s="1">
        <v>674.5</v>
      </c>
      <c r="D7" s="1">
        <v>196.0</v>
      </c>
      <c r="E7" s="8">
        <f t="shared" si="1"/>
        <v>65.42192047</v>
      </c>
      <c r="F7" s="8">
        <f t="shared" si="2"/>
        <v>6.508264463</v>
      </c>
      <c r="G7" s="5">
        <v>124.9</v>
      </c>
      <c r="H7" s="4">
        <v>36.3</v>
      </c>
      <c r="I7" s="6"/>
      <c r="K7" s="6" t="s">
        <v>15</v>
      </c>
    </row>
    <row r="8">
      <c r="A8" s="1">
        <v>2025.0</v>
      </c>
      <c r="B8" s="1">
        <v>1071.0</v>
      </c>
      <c r="C8" s="1">
        <v>702.2</v>
      </c>
      <c r="D8" s="4">
        <v>205.3</v>
      </c>
      <c r="E8" s="8">
        <f t="shared" si="1"/>
        <v>65.56489262</v>
      </c>
      <c r="F8" s="8">
        <f t="shared" si="2"/>
        <v>3.879728419</v>
      </c>
      <c r="G8" s="5">
        <v>120.9</v>
      </c>
      <c r="H8" s="4">
        <v>34.3</v>
      </c>
      <c r="I8" s="6">
        <f>(B8-B2)/B2*100</f>
        <v>38.73056995</v>
      </c>
      <c r="K8" s="6" t="s">
        <v>16</v>
      </c>
    </row>
    <row r="11">
      <c r="B11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